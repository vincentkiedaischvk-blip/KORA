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nnahmen" sheetId="1" state="visible" r:id="rId1"/>
    <sheet name="Projektion" sheetId="2" state="visible" r:id="rId2"/>
    <sheet name="Szenarien" sheetId="3" state="visible" r:id="rId3"/>
    <sheet name="Hinweis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0.0%"/>
    <numFmt numFmtId="165" formatCode="€#,##0.00"/>
    <numFmt numFmtId="166" formatCode="€#,##0;(€#,##0);-"/>
    <numFmt numFmtId="167" formatCode="0.0"/>
    <numFmt numFmtId="168" formatCode="0.0x"/>
  </numFmts>
  <fonts count="14">
    <font>
      <name val="Calibri"/>
      <family val="2"/>
      <color theme="1"/>
      <sz val="11"/>
      <scheme val="minor"/>
    </font>
    <font>
      <name val="Arial"/>
      <b val="1"/>
      <sz val="16"/>
    </font>
    <font>
      <name val="Arial"/>
      <i val="1"/>
      <color rgb="00666666"/>
      <sz val="10"/>
    </font>
    <font>
      <name val="Arial"/>
      <b val="1"/>
      <color rgb="00FFFFFF"/>
      <sz val="11"/>
    </font>
    <font>
      <name val="Arial"/>
      <sz val="10"/>
    </font>
    <font>
      <name val="Arial"/>
      <color rgb="000000FF"/>
      <sz val="10"/>
    </font>
    <font>
      <name val="Arial"/>
      <color rgb="00666666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b val="1"/>
      <sz val="11"/>
    </font>
    <font>
      <name val="Arial"/>
      <b val="1"/>
      <color rgb="000D1219"/>
      <sz val="14"/>
    </font>
    <font>
      <name val="Arial"/>
      <color rgb="00333333"/>
      <sz val="10"/>
    </font>
    <font>
      <name val="Arial"/>
      <b val="1"/>
      <color rgb="000D1219"/>
      <sz val="11"/>
    </font>
    <font>
      <name val="Arial"/>
      <color rgb="00333333"/>
      <sz val="9"/>
    </font>
  </fonts>
  <fills count="5">
    <fill>
      <patternFill/>
    </fill>
    <fill>
      <patternFill patternType="gray125"/>
    </fill>
    <fill>
      <patternFill patternType="solid">
        <fgColor rgb="000D1219"/>
      </patternFill>
    </fill>
    <fill>
      <patternFill patternType="solid">
        <fgColor rgb="00FFFF00"/>
      </patternFill>
    </fill>
    <fill>
      <patternFill patternType="solid">
        <fgColor rgb="00F2F2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0" pivotButton="0" quotePrefix="0" xfId="0"/>
    <xf numFmtId="0" fontId="0" fillId="2" borderId="0" pivotButton="0" quotePrefix="0" xfId="0"/>
    <xf numFmtId="0" fontId="4" fillId="0" borderId="0" pivotButton="0" quotePrefix="0" xfId="0"/>
    <xf numFmtId="3" fontId="5" fillId="3" borderId="1" pivotButton="0" quotePrefix="0" xfId="0"/>
    <xf numFmtId="0" fontId="6" fillId="0" borderId="0" pivotButton="0" quotePrefix="0" xfId="0"/>
    <xf numFmtId="164" fontId="5" fillId="3" borderId="1" pivotButton="0" quotePrefix="0" xfId="0"/>
    <xf numFmtId="3" fontId="4" fillId="0" borderId="1" pivotButton="0" quotePrefix="0" xfId="0"/>
    <xf numFmtId="165" fontId="5" fillId="3" borderId="1" pivotButton="0" quotePrefix="0" xfId="0"/>
    <xf numFmtId="166" fontId="4" fillId="0" borderId="1" pivotButton="0" quotePrefix="0" xfId="0"/>
    <xf numFmtId="167" fontId="4" fillId="0" borderId="1" pivotButton="0" quotePrefix="0" xfId="0"/>
    <xf numFmtId="166" fontId="5" fillId="3" borderId="1" pivotButton="0" quotePrefix="0" xfId="0"/>
    <xf numFmtId="168" fontId="4" fillId="0" borderId="1" pivotButton="0" quotePrefix="0" xfId="0"/>
    <xf numFmtId="0" fontId="7" fillId="2" borderId="0" applyAlignment="1" pivotButton="0" quotePrefix="0" xfId="0">
      <alignment horizontal="center" vertical="center" wrapText="1"/>
    </xf>
    <xf numFmtId="0" fontId="9" fillId="0" borderId="0" pivotButton="0" quotePrefix="0" xfId="0"/>
    <xf numFmtId="0" fontId="8" fillId="4" borderId="1" pivotButton="0" quotePrefix="0" xfId="0"/>
    <xf numFmtId="3" fontId="4" fillId="4" borderId="1" pivotButton="0" quotePrefix="0" xfId="0"/>
    <xf numFmtId="166" fontId="4" fillId="4" borderId="1" pivotButton="0" quotePrefix="0" xfId="0"/>
    <xf numFmtId="164" fontId="4" fillId="4" borderId="1" pivotButton="0" quotePrefix="0" xfId="0"/>
    <xf numFmtId="166" fontId="8" fillId="0" borderId="0" pivotButton="0" quotePrefix="0" xfId="0"/>
    <xf numFmtId="0" fontId="8" fillId="0" borderId="1" pivotButton="0" quotePrefix="0" xfId="0"/>
    <xf numFmtId="164" fontId="4" fillId="0" borderId="1" pivotButton="0" quotePrefix="0" xfId="0"/>
    <xf numFmtId="3" fontId="8" fillId="0" borderId="0" pivotButton="0" quotePrefix="0" xfId="0"/>
    <xf numFmtId="164" fontId="8" fillId="0" borderId="0" pivotButton="0" quotePrefix="0" xfId="0"/>
    <xf numFmtId="0" fontId="7" fillId="2" borderId="0" pivotButton="0" quotePrefix="0" xfId="0"/>
    <xf numFmtId="165" fontId="7" fillId="2" borderId="0" applyAlignment="1" pivotButton="0" quotePrefix="0" xfId="0">
      <alignment horizontal="center"/>
    </xf>
    <xf numFmtId="3" fontId="8" fillId="4" borderId="1" pivotButton="0" quotePrefix="0" xfId="0"/>
    <xf numFmtId="166" fontId="5" fillId="3" borderId="0" pivotButton="0" quotePrefix="0" xfId="0"/>
    <xf numFmtId="164" fontId="0" fillId="0" borderId="0" pivotButton="0" quotePrefix="0" xfId="0"/>
    <xf numFmtId="166" fontId="0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cols>
    <col width="46" customWidth="1" min="1" max="1"/>
    <col width="16" customWidth="1" min="2" max="2"/>
    <col width="78" customWidth="1" min="3" max="3"/>
  </cols>
  <sheetData>
    <row r="1">
      <c r="A1" s="1" t="inlineStr">
        <is>
          <t>KORA Safety — Abo-Modell Anbieterseite</t>
        </is>
      </c>
    </row>
    <row r="2">
      <c r="A2" s="2" t="inlineStr">
        <is>
          <t>Alle blauen Zellen sind Eingaben. Schwarze Zellen sind Formeln — nicht überschreiben.</t>
        </is>
      </c>
    </row>
    <row r="4">
      <c r="A4" s="3" t="inlineStr">
        <is>
          <t>MARKT</t>
        </is>
      </c>
      <c r="B4" s="4" t="n"/>
      <c r="C4" s="4" t="n"/>
      <c r="D4" s="4" t="n"/>
    </row>
    <row r="5">
      <c r="A5" s="5" t="inlineStr">
        <is>
          <t>Wach- und Sicherheitsunternehmen in DE</t>
        </is>
      </c>
      <c r="B5" s="6" t="n">
        <v>5330</v>
      </c>
      <c r="C5" s="7" t="inlineStr">
        <is>
          <t>Destatis, WZ 80.1, Stand Sept. 2023</t>
        </is>
      </c>
    </row>
    <row r="6">
      <c r="A6" s="5" t="inlineStr">
        <is>
          <t>davon Top 25 (eigener Vertrieb, nicht adressierbar)</t>
        </is>
      </c>
      <c r="B6" s="6" t="n">
        <v>25</v>
      </c>
      <c r="C6" s="7" t="inlineStr">
        <is>
          <t>Lünendonk-Liste 2026</t>
        </is>
      </c>
    </row>
    <row r="7">
      <c r="A7" s="5" t="inlineStr">
        <is>
          <t>Realistisch adressierbar (Anteil)</t>
        </is>
      </c>
      <c r="B7" s="8" t="n">
        <v>0.45</v>
      </c>
      <c r="C7" s="7" t="inlineStr">
        <is>
          <t>ANNAHME: Betriebe mit Event-/Kurzfristgeschäft. Rahmenvertrags-Werkschutz kommt nicht auf eine Plattform.</t>
        </is>
      </c>
    </row>
    <row r="8">
      <c r="A8" s="5" t="inlineStr">
        <is>
          <t>Zielgruppe gesamt</t>
        </is>
      </c>
      <c r="B8" s="9">
        <f>ROUND((B5-B6)*B7,0)</f>
        <v/>
      </c>
      <c r="C8" s="7" t="inlineStr">
        <is>
          <t>Formel</t>
        </is>
      </c>
    </row>
    <row r="10">
      <c r="A10" s="3" t="inlineStr">
        <is>
          <t>PREIS</t>
        </is>
      </c>
      <c r="B10" s="4" t="n"/>
      <c r="C10" s="4" t="n"/>
      <c r="D10" s="4" t="n"/>
    </row>
    <row r="11">
      <c r="A11" s="5" t="inlineStr">
        <is>
          <t>Abopreis pro Anbieter / Monat</t>
        </is>
      </c>
      <c r="B11" s="10" t="n">
        <v>99</v>
      </c>
      <c r="C11" s="7" t="inlineStr">
        <is>
          <t>Netto, zzgl. USt.</t>
        </is>
      </c>
    </row>
    <row r="12">
      <c r="A12" s="5" t="inlineStr">
        <is>
          <t>Jahresumsatz pro Anbieter</t>
        </is>
      </c>
      <c r="B12" s="11">
        <f>B11*12</f>
        <v/>
      </c>
      <c r="C12" s="7" t="inlineStr">
        <is>
          <t>Formel</t>
        </is>
      </c>
    </row>
    <row r="14">
      <c r="A14" s="3" t="inlineStr">
        <is>
          <t>WACHSTUM</t>
        </is>
      </c>
      <c r="B14" s="4" t="n"/>
      <c r="C14" s="4" t="n"/>
      <c r="D14" s="4" t="n"/>
    </row>
    <row r="15">
      <c r="A15" s="5" t="inlineStr">
        <is>
          <t>Neukunden Monat 1</t>
        </is>
      </c>
      <c r="B15" s="6" t="n">
        <v>5</v>
      </c>
      <c r="C15" s="7" t="inlineStr">
        <is>
          <t>ANNAHME: manuelle Akquise per Telefon</t>
        </is>
      </c>
    </row>
    <row r="16">
      <c r="A16" s="5" t="inlineStr">
        <is>
          <t>Monatliches Wachstum der Neukunden</t>
        </is>
      </c>
      <c r="B16" s="8" t="n">
        <v>0.15</v>
      </c>
      <c r="C16" s="7" t="inlineStr">
        <is>
          <t>ANNAHME: 15 % mehr Neuabschlüsse pro Monat</t>
        </is>
      </c>
    </row>
    <row r="17">
      <c r="A17" s="5" t="inlineStr">
        <is>
          <t>Obergrenze Neukunden / Monat</t>
        </is>
      </c>
      <c r="B17" s="6" t="n">
        <v>60</v>
      </c>
      <c r="C17" s="7" t="inlineStr">
        <is>
          <t>ANNAHME: Kapazitätsgrenze ohne größeres Vertriebsteam</t>
        </is>
      </c>
    </row>
    <row r="19">
      <c r="A19" s="3" t="inlineStr">
        <is>
          <t>ABWANDERUNG</t>
        </is>
      </c>
      <c r="B19" s="4" t="n"/>
      <c r="C19" s="4" t="n"/>
      <c r="D19" s="4" t="n"/>
    </row>
    <row r="20">
      <c r="A20" s="5" t="inlineStr">
        <is>
          <t>Monatliche Churn-Rate</t>
        </is>
      </c>
      <c r="B20" s="8" t="n">
        <v>0.04</v>
      </c>
      <c r="C20" s="7" t="inlineStr">
        <is>
          <t>ANNAHME: 4 % im KMU-Segment bei monatlicher Kündbarkeit. Kritischste Zahl im Modell.</t>
        </is>
      </c>
    </row>
    <row r="21">
      <c r="A21" s="5" t="inlineStr">
        <is>
          <t>Rechnerische Kundenlebensdauer (Monate)</t>
        </is>
      </c>
      <c r="B21" s="12">
        <f>1/B20</f>
        <v/>
      </c>
      <c r="C21" s="7" t="inlineStr">
        <is>
          <t>Formel: 1 / Churn</t>
        </is>
      </c>
    </row>
    <row r="22">
      <c r="A22" s="5" t="inlineStr">
        <is>
          <t>Lifetime Value je Anbieter</t>
        </is>
      </c>
      <c r="B22" s="11">
        <f>B11*B21</f>
        <v/>
      </c>
      <c r="C22" s="7" t="inlineStr">
        <is>
          <t>Formel</t>
        </is>
      </c>
    </row>
    <row r="24">
      <c r="A24" s="3" t="inlineStr">
        <is>
          <t>AKQUISE</t>
        </is>
      </c>
      <c r="B24" s="4" t="n"/>
      <c r="C24" s="4" t="n"/>
      <c r="D24" s="4" t="n"/>
    </row>
    <row r="25">
      <c r="A25" s="5" t="inlineStr">
        <is>
          <t>Kosten pro Neukunde (CAC)</t>
        </is>
      </c>
      <c r="B25" s="13" t="n">
        <v>250</v>
      </c>
      <c r="C25" s="7" t="inlineStr">
        <is>
          <t>ANNAHME: Mix aus Eigenakquise und Paid Ads</t>
        </is>
      </c>
    </row>
    <row r="26">
      <c r="A26" s="5" t="inlineStr">
        <is>
          <t>Amortisationsdauer (Monate)</t>
        </is>
      </c>
      <c r="B26" s="12">
        <f>B25/B11</f>
        <v/>
      </c>
      <c r="C26" s="7" t="inlineStr">
        <is>
          <t>Formel: CAC / Preis</t>
        </is>
      </c>
    </row>
    <row r="27">
      <c r="A27" s="5" t="inlineStr">
        <is>
          <t>LTV / CAC</t>
        </is>
      </c>
      <c r="B27" s="14">
        <f>B22/B25</f>
        <v/>
      </c>
      <c r="C27" s="7" t="inlineStr">
        <is>
          <t>Formel. Unter 3,0 ist das Modell nicht tragfähig.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3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13" customWidth="1" min="2" max="2"/>
    <col width="14" customWidth="1" min="3" max="3"/>
    <col width="13" customWidth="1" min="4" max="4"/>
    <col width="14" customWidth="1" min="5" max="5"/>
    <col width="14" customWidth="1" min="6" max="6"/>
    <col width="15" customWidth="1" min="7" max="7"/>
    <col width="24" customWidth="1" min="8" max="8"/>
    <col width="18" customWidth="1" min="9" max="9"/>
    <col width="34" customWidth="1" min="11" max="11"/>
    <col width="16" customWidth="1" min="12" max="12"/>
  </cols>
  <sheetData>
    <row r="1">
      <c r="A1" s="1" t="inlineStr">
        <is>
          <t>36-Monats-Projektion</t>
        </is>
      </c>
    </row>
    <row r="3" ht="34" customHeight="1">
      <c r="A3" s="15" t="inlineStr">
        <is>
          <t>Monat</t>
        </is>
      </c>
      <c r="B3" s="15" t="inlineStr">
        <is>
          <t>Neukunden</t>
        </is>
      </c>
      <c r="C3" s="15" t="inlineStr">
        <is>
          <t>Kündigungen</t>
        </is>
      </c>
      <c r="D3" s="15" t="inlineStr">
        <is>
          <t>Aktive Abos</t>
        </is>
      </c>
      <c r="E3" s="15" t="inlineStr">
        <is>
          <t>MRR</t>
        </is>
      </c>
      <c r="F3" s="15" t="inlineStr">
        <is>
          <t>ARR</t>
        </is>
      </c>
      <c r="G3" s="15" t="inlineStr">
        <is>
          <t>Akquisekosten</t>
        </is>
      </c>
      <c r="H3" s="15" t="inlineStr">
        <is>
          <t>Deckungsbeitrag kumuliert</t>
        </is>
      </c>
      <c r="I3" s="15" t="inlineStr">
        <is>
          <t>Marktdurchdringung</t>
        </is>
      </c>
      <c r="K3" s="16" t="inlineStr">
        <is>
          <t>Eckwerte</t>
        </is>
      </c>
    </row>
    <row r="4">
      <c r="A4" s="17" t="n">
        <v>1</v>
      </c>
      <c r="B4" s="18">
        <f>MIN(Annahmen!$B$17,ROUND(Annahmen!$B$15*(1+Annahmen!$B$16)^(1-1),0))</f>
        <v/>
      </c>
      <c r="C4" s="18" t="n">
        <v>0</v>
      </c>
      <c r="D4" s="18">
        <f>B4-C4</f>
        <v/>
      </c>
      <c r="E4" s="19">
        <f>D4*Annahmen!$B$11</f>
        <v/>
      </c>
      <c r="F4" s="19">
        <f>E4*12</f>
        <v/>
      </c>
      <c r="G4" s="19">
        <f>B4*Annahmen!$B$25</f>
        <v/>
      </c>
      <c r="H4" s="19">
        <f>E4-G4</f>
        <v/>
      </c>
      <c r="I4" s="20">
        <f>D4/Annahmen!$B$8</f>
        <v/>
      </c>
      <c r="K4" s="5" t="inlineStr">
        <is>
          <t>ARR nach 12 Monaten</t>
        </is>
      </c>
      <c r="L4" s="21">
        <f>F15</f>
        <v/>
      </c>
    </row>
    <row r="5">
      <c r="A5" s="22" t="n">
        <v>2</v>
      </c>
      <c r="B5" s="9">
        <f>MIN(Annahmen!$B$17,ROUND(Annahmen!$B$15*(1+Annahmen!$B$16)^(2-1),0))</f>
        <v/>
      </c>
      <c r="C5" s="9">
        <f>ROUND(D4*Annahmen!$B$20,0)</f>
        <v/>
      </c>
      <c r="D5" s="9">
        <f>D4+B5-C5</f>
        <v/>
      </c>
      <c r="E5" s="11">
        <f>D5*Annahmen!$B$11</f>
        <v/>
      </c>
      <c r="F5" s="11">
        <f>E5*12</f>
        <v/>
      </c>
      <c r="G5" s="11">
        <f>B5*Annahmen!$B$25</f>
        <v/>
      </c>
      <c r="H5" s="11">
        <f>H4+E5-G5</f>
        <v/>
      </c>
      <c r="I5" s="23">
        <f>D5/Annahmen!$B$8</f>
        <v/>
      </c>
      <c r="K5" s="5" t="inlineStr">
        <is>
          <t>ARR nach 24 Monaten</t>
        </is>
      </c>
      <c r="L5" s="21">
        <f>F27</f>
        <v/>
      </c>
    </row>
    <row r="6">
      <c r="A6" s="17" t="n">
        <v>3</v>
      </c>
      <c r="B6" s="18">
        <f>MIN(Annahmen!$B$17,ROUND(Annahmen!$B$15*(1+Annahmen!$B$16)^(3-1),0))</f>
        <v/>
      </c>
      <c r="C6" s="18">
        <f>ROUND(D5*Annahmen!$B$20,0)</f>
        <v/>
      </c>
      <c r="D6" s="18">
        <f>D5+B6-C6</f>
        <v/>
      </c>
      <c r="E6" s="19">
        <f>D6*Annahmen!$B$11</f>
        <v/>
      </c>
      <c r="F6" s="19">
        <f>E6*12</f>
        <v/>
      </c>
      <c r="G6" s="19">
        <f>B6*Annahmen!$B$25</f>
        <v/>
      </c>
      <c r="H6" s="19">
        <f>H5+E6-G6</f>
        <v/>
      </c>
      <c r="I6" s="20">
        <f>D6/Annahmen!$B$8</f>
        <v/>
      </c>
      <c r="K6" s="5" t="inlineStr">
        <is>
          <t>ARR nach 36 Monaten</t>
        </is>
      </c>
      <c r="L6" s="21">
        <f>F39</f>
        <v/>
      </c>
    </row>
    <row r="7">
      <c r="A7" s="22" t="n">
        <v>4</v>
      </c>
      <c r="B7" s="9">
        <f>MIN(Annahmen!$B$17,ROUND(Annahmen!$B$15*(1+Annahmen!$B$16)^(4-1),0))</f>
        <v/>
      </c>
      <c r="C7" s="9">
        <f>ROUND(D6*Annahmen!$B$20,0)</f>
        <v/>
      </c>
      <c r="D7" s="9">
        <f>D6+B7-C7</f>
        <v/>
      </c>
      <c r="E7" s="11">
        <f>D7*Annahmen!$B$11</f>
        <v/>
      </c>
      <c r="F7" s="11">
        <f>E7*12</f>
        <v/>
      </c>
      <c r="G7" s="11">
        <f>B7*Annahmen!$B$25</f>
        <v/>
      </c>
      <c r="H7" s="11">
        <f>H6+E7-G7</f>
        <v/>
      </c>
      <c r="I7" s="23">
        <f>D7/Annahmen!$B$8</f>
        <v/>
      </c>
      <c r="K7" s="5" t="inlineStr">
        <is>
          <t>Aktive Abos nach 36 Monaten</t>
        </is>
      </c>
      <c r="L7" s="24">
        <f>D39</f>
        <v/>
      </c>
    </row>
    <row r="8">
      <c r="A8" s="17" t="n">
        <v>5</v>
      </c>
      <c r="B8" s="18">
        <f>MIN(Annahmen!$B$17,ROUND(Annahmen!$B$15*(1+Annahmen!$B$16)^(5-1),0))</f>
        <v/>
      </c>
      <c r="C8" s="18">
        <f>ROUND(D7*Annahmen!$B$20,0)</f>
        <v/>
      </c>
      <c r="D8" s="18">
        <f>D7+B8-C8</f>
        <v/>
      </c>
      <c r="E8" s="19">
        <f>D8*Annahmen!$B$11</f>
        <v/>
      </c>
      <c r="F8" s="19">
        <f>E8*12</f>
        <v/>
      </c>
      <c r="G8" s="19">
        <f>B8*Annahmen!$B$25</f>
        <v/>
      </c>
      <c r="H8" s="19">
        <f>H7+E8-G8</f>
        <v/>
      </c>
      <c r="I8" s="20">
        <f>D8/Annahmen!$B$8</f>
        <v/>
      </c>
      <c r="K8" s="5" t="inlineStr">
        <is>
          <t>Deckungsbeitrag kumuliert (36 M.)</t>
        </is>
      </c>
      <c r="L8" s="21">
        <f>H39</f>
        <v/>
      </c>
    </row>
    <row r="9">
      <c r="A9" s="22" t="n">
        <v>6</v>
      </c>
      <c r="B9" s="9">
        <f>MIN(Annahmen!$B$17,ROUND(Annahmen!$B$15*(1+Annahmen!$B$16)^(6-1),0))</f>
        <v/>
      </c>
      <c r="C9" s="9">
        <f>ROUND(D8*Annahmen!$B$20,0)</f>
        <v/>
      </c>
      <c r="D9" s="9">
        <f>D8+B9-C9</f>
        <v/>
      </c>
      <c r="E9" s="11">
        <f>D9*Annahmen!$B$11</f>
        <v/>
      </c>
      <c r="F9" s="11">
        <f>E9*12</f>
        <v/>
      </c>
      <c r="G9" s="11">
        <f>B9*Annahmen!$B$25</f>
        <v/>
      </c>
      <c r="H9" s="11">
        <f>H8+E9-G9</f>
        <v/>
      </c>
      <c r="I9" s="23">
        <f>D9/Annahmen!$B$8</f>
        <v/>
      </c>
      <c r="K9" s="5" t="inlineStr">
        <is>
          <t>Marktdurchdringung nach 36 Monaten</t>
        </is>
      </c>
      <c r="L9" s="25">
        <f>I39</f>
        <v/>
      </c>
    </row>
    <row r="10">
      <c r="A10" s="17" t="n">
        <v>7</v>
      </c>
      <c r="B10" s="18">
        <f>MIN(Annahmen!$B$17,ROUND(Annahmen!$B$15*(1+Annahmen!$B$16)^(7-1),0))</f>
        <v/>
      </c>
      <c r="C10" s="18">
        <f>ROUND(D9*Annahmen!$B$20,0)</f>
        <v/>
      </c>
      <c r="D10" s="18">
        <f>D9+B10-C10</f>
        <v/>
      </c>
      <c r="E10" s="19">
        <f>D10*Annahmen!$B$11</f>
        <v/>
      </c>
      <c r="F10" s="19">
        <f>E10*12</f>
        <v/>
      </c>
      <c r="G10" s="19">
        <f>B10*Annahmen!$B$25</f>
        <v/>
      </c>
      <c r="H10" s="19">
        <f>H9+E10-G10</f>
        <v/>
      </c>
      <c r="I10" s="20">
        <f>D10/Annahmen!$B$8</f>
        <v/>
      </c>
    </row>
    <row r="11">
      <c r="A11" s="22" t="n">
        <v>8</v>
      </c>
      <c r="B11" s="9">
        <f>MIN(Annahmen!$B$17,ROUND(Annahmen!$B$15*(1+Annahmen!$B$16)^(8-1),0))</f>
        <v/>
      </c>
      <c r="C11" s="9">
        <f>ROUND(D10*Annahmen!$B$20,0)</f>
        <v/>
      </c>
      <c r="D11" s="9">
        <f>D10+B11-C11</f>
        <v/>
      </c>
      <c r="E11" s="11">
        <f>D11*Annahmen!$B$11</f>
        <v/>
      </c>
      <c r="F11" s="11">
        <f>E11*12</f>
        <v/>
      </c>
      <c r="G11" s="11">
        <f>B11*Annahmen!$B$25</f>
        <v/>
      </c>
      <c r="H11" s="11">
        <f>H10+E11-G11</f>
        <v/>
      </c>
      <c r="I11" s="23">
        <f>D11/Annahmen!$B$8</f>
        <v/>
      </c>
    </row>
    <row r="12">
      <c r="A12" s="17" t="n">
        <v>9</v>
      </c>
      <c r="B12" s="18">
        <f>MIN(Annahmen!$B$17,ROUND(Annahmen!$B$15*(1+Annahmen!$B$16)^(9-1),0))</f>
        <v/>
      </c>
      <c r="C12" s="18">
        <f>ROUND(D11*Annahmen!$B$20,0)</f>
        <v/>
      </c>
      <c r="D12" s="18">
        <f>D11+B12-C12</f>
        <v/>
      </c>
      <c r="E12" s="19">
        <f>D12*Annahmen!$B$11</f>
        <v/>
      </c>
      <c r="F12" s="19">
        <f>E12*12</f>
        <v/>
      </c>
      <c r="G12" s="19">
        <f>B12*Annahmen!$B$25</f>
        <v/>
      </c>
      <c r="H12" s="19">
        <f>H11+E12-G12</f>
        <v/>
      </c>
      <c r="I12" s="20">
        <f>D12/Annahmen!$B$8</f>
        <v/>
      </c>
    </row>
    <row r="13">
      <c r="A13" s="22" t="n">
        <v>10</v>
      </c>
      <c r="B13" s="9">
        <f>MIN(Annahmen!$B$17,ROUND(Annahmen!$B$15*(1+Annahmen!$B$16)^(10-1),0))</f>
        <v/>
      </c>
      <c r="C13" s="9">
        <f>ROUND(D12*Annahmen!$B$20,0)</f>
        <v/>
      </c>
      <c r="D13" s="9">
        <f>D12+B13-C13</f>
        <v/>
      </c>
      <c r="E13" s="11">
        <f>D13*Annahmen!$B$11</f>
        <v/>
      </c>
      <c r="F13" s="11">
        <f>E13*12</f>
        <v/>
      </c>
      <c r="G13" s="11">
        <f>B13*Annahmen!$B$25</f>
        <v/>
      </c>
      <c r="H13" s="11">
        <f>H12+E13-G13</f>
        <v/>
      </c>
      <c r="I13" s="23">
        <f>D13/Annahmen!$B$8</f>
        <v/>
      </c>
    </row>
    <row r="14">
      <c r="A14" s="17" t="n">
        <v>11</v>
      </c>
      <c r="B14" s="18">
        <f>MIN(Annahmen!$B$17,ROUND(Annahmen!$B$15*(1+Annahmen!$B$16)^(11-1),0))</f>
        <v/>
      </c>
      <c r="C14" s="18">
        <f>ROUND(D13*Annahmen!$B$20,0)</f>
        <v/>
      </c>
      <c r="D14" s="18">
        <f>D13+B14-C14</f>
        <v/>
      </c>
      <c r="E14" s="19">
        <f>D14*Annahmen!$B$11</f>
        <v/>
      </c>
      <c r="F14" s="19">
        <f>E14*12</f>
        <v/>
      </c>
      <c r="G14" s="19">
        <f>B14*Annahmen!$B$25</f>
        <v/>
      </c>
      <c r="H14" s="19">
        <f>H13+E14-G14</f>
        <v/>
      </c>
      <c r="I14" s="20">
        <f>D14/Annahmen!$B$8</f>
        <v/>
      </c>
    </row>
    <row r="15">
      <c r="A15" s="22" t="n">
        <v>12</v>
      </c>
      <c r="B15" s="9">
        <f>MIN(Annahmen!$B$17,ROUND(Annahmen!$B$15*(1+Annahmen!$B$16)^(12-1),0))</f>
        <v/>
      </c>
      <c r="C15" s="9">
        <f>ROUND(D14*Annahmen!$B$20,0)</f>
        <v/>
      </c>
      <c r="D15" s="9">
        <f>D14+B15-C15</f>
        <v/>
      </c>
      <c r="E15" s="11">
        <f>D15*Annahmen!$B$11</f>
        <v/>
      </c>
      <c r="F15" s="11">
        <f>E15*12</f>
        <v/>
      </c>
      <c r="G15" s="11">
        <f>B15*Annahmen!$B$25</f>
        <v/>
      </c>
      <c r="H15" s="11">
        <f>H14+E15-G15</f>
        <v/>
      </c>
      <c r="I15" s="23">
        <f>D15/Annahmen!$B$8</f>
        <v/>
      </c>
    </row>
    <row r="16">
      <c r="A16" s="17" t="n">
        <v>13</v>
      </c>
      <c r="B16" s="18">
        <f>MIN(Annahmen!$B$17,ROUND(Annahmen!$B$15*(1+Annahmen!$B$16)^(13-1),0))</f>
        <v/>
      </c>
      <c r="C16" s="18">
        <f>ROUND(D15*Annahmen!$B$20,0)</f>
        <v/>
      </c>
      <c r="D16" s="18">
        <f>D15+B16-C16</f>
        <v/>
      </c>
      <c r="E16" s="19">
        <f>D16*Annahmen!$B$11</f>
        <v/>
      </c>
      <c r="F16" s="19">
        <f>E16*12</f>
        <v/>
      </c>
      <c r="G16" s="19">
        <f>B16*Annahmen!$B$25</f>
        <v/>
      </c>
      <c r="H16" s="19">
        <f>H15+E16-G16</f>
        <v/>
      </c>
      <c r="I16" s="20">
        <f>D16/Annahmen!$B$8</f>
        <v/>
      </c>
    </row>
    <row r="17">
      <c r="A17" s="22" t="n">
        <v>14</v>
      </c>
      <c r="B17" s="9">
        <f>MIN(Annahmen!$B$17,ROUND(Annahmen!$B$15*(1+Annahmen!$B$16)^(14-1),0))</f>
        <v/>
      </c>
      <c r="C17" s="9">
        <f>ROUND(D16*Annahmen!$B$20,0)</f>
        <v/>
      </c>
      <c r="D17" s="9">
        <f>D16+B17-C17</f>
        <v/>
      </c>
      <c r="E17" s="11">
        <f>D17*Annahmen!$B$11</f>
        <v/>
      </c>
      <c r="F17" s="11">
        <f>E17*12</f>
        <v/>
      </c>
      <c r="G17" s="11">
        <f>B17*Annahmen!$B$25</f>
        <v/>
      </c>
      <c r="H17" s="11">
        <f>H16+E17-G17</f>
        <v/>
      </c>
      <c r="I17" s="23">
        <f>D17/Annahmen!$B$8</f>
        <v/>
      </c>
    </row>
    <row r="18">
      <c r="A18" s="17" t="n">
        <v>15</v>
      </c>
      <c r="B18" s="18">
        <f>MIN(Annahmen!$B$17,ROUND(Annahmen!$B$15*(1+Annahmen!$B$16)^(15-1),0))</f>
        <v/>
      </c>
      <c r="C18" s="18">
        <f>ROUND(D17*Annahmen!$B$20,0)</f>
        <v/>
      </c>
      <c r="D18" s="18">
        <f>D17+B18-C18</f>
        <v/>
      </c>
      <c r="E18" s="19">
        <f>D18*Annahmen!$B$11</f>
        <v/>
      </c>
      <c r="F18" s="19">
        <f>E18*12</f>
        <v/>
      </c>
      <c r="G18" s="19">
        <f>B18*Annahmen!$B$25</f>
        <v/>
      </c>
      <c r="H18" s="19">
        <f>H17+E18-G18</f>
        <v/>
      </c>
      <c r="I18" s="20">
        <f>D18/Annahmen!$B$8</f>
        <v/>
      </c>
    </row>
    <row r="19">
      <c r="A19" s="22" t="n">
        <v>16</v>
      </c>
      <c r="B19" s="9">
        <f>MIN(Annahmen!$B$17,ROUND(Annahmen!$B$15*(1+Annahmen!$B$16)^(16-1),0))</f>
        <v/>
      </c>
      <c r="C19" s="9">
        <f>ROUND(D18*Annahmen!$B$20,0)</f>
        <v/>
      </c>
      <c r="D19" s="9">
        <f>D18+B19-C19</f>
        <v/>
      </c>
      <c r="E19" s="11">
        <f>D19*Annahmen!$B$11</f>
        <v/>
      </c>
      <c r="F19" s="11">
        <f>E19*12</f>
        <v/>
      </c>
      <c r="G19" s="11">
        <f>B19*Annahmen!$B$25</f>
        <v/>
      </c>
      <c r="H19" s="11">
        <f>H18+E19-G19</f>
        <v/>
      </c>
      <c r="I19" s="23">
        <f>D19/Annahmen!$B$8</f>
        <v/>
      </c>
    </row>
    <row r="20">
      <c r="A20" s="17" t="n">
        <v>17</v>
      </c>
      <c r="B20" s="18">
        <f>MIN(Annahmen!$B$17,ROUND(Annahmen!$B$15*(1+Annahmen!$B$16)^(17-1),0))</f>
        <v/>
      </c>
      <c r="C20" s="18">
        <f>ROUND(D19*Annahmen!$B$20,0)</f>
        <v/>
      </c>
      <c r="D20" s="18">
        <f>D19+B20-C20</f>
        <v/>
      </c>
      <c r="E20" s="19">
        <f>D20*Annahmen!$B$11</f>
        <v/>
      </c>
      <c r="F20" s="19">
        <f>E20*12</f>
        <v/>
      </c>
      <c r="G20" s="19">
        <f>B20*Annahmen!$B$25</f>
        <v/>
      </c>
      <c r="H20" s="19">
        <f>H19+E20-G20</f>
        <v/>
      </c>
      <c r="I20" s="20">
        <f>D20/Annahmen!$B$8</f>
        <v/>
      </c>
    </row>
    <row r="21">
      <c r="A21" s="22" t="n">
        <v>18</v>
      </c>
      <c r="B21" s="9">
        <f>MIN(Annahmen!$B$17,ROUND(Annahmen!$B$15*(1+Annahmen!$B$16)^(18-1),0))</f>
        <v/>
      </c>
      <c r="C21" s="9">
        <f>ROUND(D20*Annahmen!$B$20,0)</f>
        <v/>
      </c>
      <c r="D21" s="9">
        <f>D20+B21-C21</f>
        <v/>
      </c>
      <c r="E21" s="11">
        <f>D21*Annahmen!$B$11</f>
        <v/>
      </c>
      <c r="F21" s="11">
        <f>E21*12</f>
        <v/>
      </c>
      <c r="G21" s="11">
        <f>B21*Annahmen!$B$25</f>
        <v/>
      </c>
      <c r="H21" s="11">
        <f>H20+E21-G21</f>
        <v/>
      </c>
      <c r="I21" s="23">
        <f>D21/Annahmen!$B$8</f>
        <v/>
      </c>
    </row>
    <row r="22">
      <c r="A22" s="17" t="n">
        <v>19</v>
      </c>
      <c r="B22" s="18">
        <f>MIN(Annahmen!$B$17,ROUND(Annahmen!$B$15*(1+Annahmen!$B$16)^(19-1),0))</f>
        <v/>
      </c>
      <c r="C22" s="18">
        <f>ROUND(D21*Annahmen!$B$20,0)</f>
        <v/>
      </c>
      <c r="D22" s="18">
        <f>D21+B22-C22</f>
        <v/>
      </c>
      <c r="E22" s="19">
        <f>D22*Annahmen!$B$11</f>
        <v/>
      </c>
      <c r="F22" s="19">
        <f>E22*12</f>
        <v/>
      </c>
      <c r="G22" s="19">
        <f>B22*Annahmen!$B$25</f>
        <v/>
      </c>
      <c r="H22" s="19">
        <f>H21+E22-G22</f>
        <v/>
      </c>
      <c r="I22" s="20">
        <f>D22/Annahmen!$B$8</f>
        <v/>
      </c>
    </row>
    <row r="23">
      <c r="A23" s="22" t="n">
        <v>20</v>
      </c>
      <c r="B23" s="9">
        <f>MIN(Annahmen!$B$17,ROUND(Annahmen!$B$15*(1+Annahmen!$B$16)^(20-1),0))</f>
        <v/>
      </c>
      <c r="C23" s="9">
        <f>ROUND(D22*Annahmen!$B$20,0)</f>
        <v/>
      </c>
      <c r="D23" s="9">
        <f>D22+B23-C23</f>
        <v/>
      </c>
      <c r="E23" s="11">
        <f>D23*Annahmen!$B$11</f>
        <v/>
      </c>
      <c r="F23" s="11">
        <f>E23*12</f>
        <v/>
      </c>
      <c r="G23" s="11">
        <f>B23*Annahmen!$B$25</f>
        <v/>
      </c>
      <c r="H23" s="11">
        <f>H22+E23-G23</f>
        <v/>
      </c>
      <c r="I23" s="23">
        <f>D23/Annahmen!$B$8</f>
        <v/>
      </c>
    </row>
    <row r="24">
      <c r="A24" s="17" t="n">
        <v>21</v>
      </c>
      <c r="B24" s="18">
        <f>MIN(Annahmen!$B$17,ROUND(Annahmen!$B$15*(1+Annahmen!$B$16)^(21-1),0))</f>
        <v/>
      </c>
      <c r="C24" s="18">
        <f>ROUND(D23*Annahmen!$B$20,0)</f>
        <v/>
      </c>
      <c r="D24" s="18">
        <f>D23+B24-C24</f>
        <v/>
      </c>
      <c r="E24" s="19">
        <f>D24*Annahmen!$B$11</f>
        <v/>
      </c>
      <c r="F24" s="19">
        <f>E24*12</f>
        <v/>
      </c>
      <c r="G24" s="19">
        <f>B24*Annahmen!$B$25</f>
        <v/>
      </c>
      <c r="H24" s="19">
        <f>H23+E24-G24</f>
        <v/>
      </c>
      <c r="I24" s="20">
        <f>D24/Annahmen!$B$8</f>
        <v/>
      </c>
    </row>
    <row r="25">
      <c r="A25" s="22" t="n">
        <v>22</v>
      </c>
      <c r="B25" s="9">
        <f>MIN(Annahmen!$B$17,ROUND(Annahmen!$B$15*(1+Annahmen!$B$16)^(22-1),0))</f>
        <v/>
      </c>
      <c r="C25" s="9">
        <f>ROUND(D24*Annahmen!$B$20,0)</f>
        <v/>
      </c>
      <c r="D25" s="9">
        <f>D24+B25-C25</f>
        <v/>
      </c>
      <c r="E25" s="11">
        <f>D25*Annahmen!$B$11</f>
        <v/>
      </c>
      <c r="F25" s="11">
        <f>E25*12</f>
        <v/>
      </c>
      <c r="G25" s="11">
        <f>B25*Annahmen!$B$25</f>
        <v/>
      </c>
      <c r="H25" s="11">
        <f>H24+E25-G25</f>
        <v/>
      </c>
      <c r="I25" s="23">
        <f>D25/Annahmen!$B$8</f>
        <v/>
      </c>
    </row>
    <row r="26">
      <c r="A26" s="17" t="n">
        <v>23</v>
      </c>
      <c r="B26" s="18">
        <f>MIN(Annahmen!$B$17,ROUND(Annahmen!$B$15*(1+Annahmen!$B$16)^(23-1),0))</f>
        <v/>
      </c>
      <c r="C26" s="18">
        <f>ROUND(D25*Annahmen!$B$20,0)</f>
        <v/>
      </c>
      <c r="D26" s="18">
        <f>D25+B26-C26</f>
        <v/>
      </c>
      <c r="E26" s="19">
        <f>D26*Annahmen!$B$11</f>
        <v/>
      </c>
      <c r="F26" s="19">
        <f>E26*12</f>
        <v/>
      </c>
      <c r="G26" s="19">
        <f>B26*Annahmen!$B$25</f>
        <v/>
      </c>
      <c r="H26" s="19">
        <f>H25+E26-G26</f>
        <v/>
      </c>
      <c r="I26" s="20">
        <f>D26/Annahmen!$B$8</f>
        <v/>
      </c>
    </row>
    <row r="27">
      <c r="A27" s="22" t="n">
        <v>24</v>
      </c>
      <c r="B27" s="9">
        <f>MIN(Annahmen!$B$17,ROUND(Annahmen!$B$15*(1+Annahmen!$B$16)^(24-1),0))</f>
        <v/>
      </c>
      <c r="C27" s="9">
        <f>ROUND(D26*Annahmen!$B$20,0)</f>
        <v/>
      </c>
      <c r="D27" s="9">
        <f>D26+B27-C27</f>
        <v/>
      </c>
      <c r="E27" s="11">
        <f>D27*Annahmen!$B$11</f>
        <v/>
      </c>
      <c r="F27" s="11">
        <f>E27*12</f>
        <v/>
      </c>
      <c r="G27" s="11">
        <f>B27*Annahmen!$B$25</f>
        <v/>
      </c>
      <c r="H27" s="11">
        <f>H26+E27-G27</f>
        <v/>
      </c>
      <c r="I27" s="23">
        <f>D27/Annahmen!$B$8</f>
        <v/>
      </c>
    </row>
    <row r="28">
      <c r="A28" s="17" t="n">
        <v>25</v>
      </c>
      <c r="B28" s="18">
        <f>MIN(Annahmen!$B$17,ROUND(Annahmen!$B$15*(1+Annahmen!$B$16)^(25-1),0))</f>
        <v/>
      </c>
      <c r="C28" s="18">
        <f>ROUND(D27*Annahmen!$B$20,0)</f>
        <v/>
      </c>
      <c r="D28" s="18">
        <f>D27+B28-C28</f>
        <v/>
      </c>
      <c r="E28" s="19">
        <f>D28*Annahmen!$B$11</f>
        <v/>
      </c>
      <c r="F28" s="19">
        <f>E28*12</f>
        <v/>
      </c>
      <c r="G28" s="19">
        <f>B28*Annahmen!$B$25</f>
        <v/>
      </c>
      <c r="H28" s="19">
        <f>H27+E28-G28</f>
        <v/>
      </c>
      <c r="I28" s="20">
        <f>D28/Annahmen!$B$8</f>
        <v/>
      </c>
    </row>
    <row r="29">
      <c r="A29" s="22" t="n">
        <v>26</v>
      </c>
      <c r="B29" s="9">
        <f>MIN(Annahmen!$B$17,ROUND(Annahmen!$B$15*(1+Annahmen!$B$16)^(26-1),0))</f>
        <v/>
      </c>
      <c r="C29" s="9">
        <f>ROUND(D28*Annahmen!$B$20,0)</f>
        <v/>
      </c>
      <c r="D29" s="9">
        <f>D28+B29-C29</f>
        <v/>
      </c>
      <c r="E29" s="11">
        <f>D29*Annahmen!$B$11</f>
        <v/>
      </c>
      <c r="F29" s="11">
        <f>E29*12</f>
        <v/>
      </c>
      <c r="G29" s="11">
        <f>B29*Annahmen!$B$25</f>
        <v/>
      </c>
      <c r="H29" s="11">
        <f>H28+E29-G29</f>
        <v/>
      </c>
      <c r="I29" s="23">
        <f>D29/Annahmen!$B$8</f>
        <v/>
      </c>
    </row>
    <row r="30">
      <c r="A30" s="17" t="n">
        <v>27</v>
      </c>
      <c r="B30" s="18">
        <f>MIN(Annahmen!$B$17,ROUND(Annahmen!$B$15*(1+Annahmen!$B$16)^(27-1),0))</f>
        <v/>
      </c>
      <c r="C30" s="18">
        <f>ROUND(D29*Annahmen!$B$20,0)</f>
        <v/>
      </c>
      <c r="D30" s="18">
        <f>D29+B30-C30</f>
        <v/>
      </c>
      <c r="E30" s="19">
        <f>D30*Annahmen!$B$11</f>
        <v/>
      </c>
      <c r="F30" s="19">
        <f>E30*12</f>
        <v/>
      </c>
      <c r="G30" s="19">
        <f>B30*Annahmen!$B$25</f>
        <v/>
      </c>
      <c r="H30" s="19">
        <f>H29+E30-G30</f>
        <v/>
      </c>
      <c r="I30" s="20">
        <f>D30/Annahmen!$B$8</f>
        <v/>
      </c>
    </row>
    <row r="31">
      <c r="A31" s="22" t="n">
        <v>28</v>
      </c>
      <c r="B31" s="9">
        <f>MIN(Annahmen!$B$17,ROUND(Annahmen!$B$15*(1+Annahmen!$B$16)^(28-1),0))</f>
        <v/>
      </c>
      <c r="C31" s="9">
        <f>ROUND(D30*Annahmen!$B$20,0)</f>
        <v/>
      </c>
      <c r="D31" s="9">
        <f>D30+B31-C31</f>
        <v/>
      </c>
      <c r="E31" s="11">
        <f>D31*Annahmen!$B$11</f>
        <v/>
      </c>
      <c r="F31" s="11">
        <f>E31*12</f>
        <v/>
      </c>
      <c r="G31" s="11">
        <f>B31*Annahmen!$B$25</f>
        <v/>
      </c>
      <c r="H31" s="11">
        <f>H30+E31-G31</f>
        <v/>
      </c>
      <c r="I31" s="23">
        <f>D31/Annahmen!$B$8</f>
        <v/>
      </c>
    </row>
    <row r="32">
      <c r="A32" s="17" t="n">
        <v>29</v>
      </c>
      <c r="B32" s="18">
        <f>MIN(Annahmen!$B$17,ROUND(Annahmen!$B$15*(1+Annahmen!$B$16)^(29-1),0))</f>
        <v/>
      </c>
      <c r="C32" s="18">
        <f>ROUND(D31*Annahmen!$B$20,0)</f>
        <v/>
      </c>
      <c r="D32" s="18">
        <f>D31+B32-C32</f>
        <v/>
      </c>
      <c r="E32" s="19">
        <f>D32*Annahmen!$B$11</f>
        <v/>
      </c>
      <c r="F32" s="19">
        <f>E32*12</f>
        <v/>
      </c>
      <c r="G32" s="19">
        <f>B32*Annahmen!$B$25</f>
        <v/>
      </c>
      <c r="H32" s="19">
        <f>H31+E32-G32</f>
        <v/>
      </c>
      <c r="I32" s="20">
        <f>D32/Annahmen!$B$8</f>
        <v/>
      </c>
    </row>
    <row r="33">
      <c r="A33" s="22" t="n">
        <v>30</v>
      </c>
      <c r="B33" s="9">
        <f>MIN(Annahmen!$B$17,ROUND(Annahmen!$B$15*(1+Annahmen!$B$16)^(30-1),0))</f>
        <v/>
      </c>
      <c r="C33" s="9">
        <f>ROUND(D32*Annahmen!$B$20,0)</f>
        <v/>
      </c>
      <c r="D33" s="9">
        <f>D32+B33-C33</f>
        <v/>
      </c>
      <c r="E33" s="11">
        <f>D33*Annahmen!$B$11</f>
        <v/>
      </c>
      <c r="F33" s="11">
        <f>E33*12</f>
        <v/>
      </c>
      <c r="G33" s="11">
        <f>B33*Annahmen!$B$25</f>
        <v/>
      </c>
      <c r="H33" s="11">
        <f>H32+E33-G33</f>
        <v/>
      </c>
      <c r="I33" s="23">
        <f>D33/Annahmen!$B$8</f>
        <v/>
      </c>
    </row>
    <row r="34">
      <c r="A34" s="17" t="n">
        <v>31</v>
      </c>
      <c r="B34" s="18">
        <f>MIN(Annahmen!$B$17,ROUND(Annahmen!$B$15*(1+Annahmen!$B$16)^(31-1),0))</f>
        <v/>
      </c>
      <c r="C34" s="18">
        <f>ROUND(D33*Annahmen!$B$20,0)</f>
        <v/>
      </c>
      <c r="D34" s="18">
        <f>D33+B34-C34</f>
        <v/>
      </c>
      <c r="E34" s="19">
        <f>D34*Annahmen!$B$11</f>
        <v/>
      </c>
      <c r="F34" s="19">
        <f>E34*12</f>
        <v/>
      </c>
      <c r="G34" s="19">
        <f>B34*Annahmen!$B$25</f>
        <v/>
      </c>
      <c r="H34" s="19">
        <f>H33+E34-G34</f>
        <v/>
      </c>
      <c r="I34" s="20">
        <f>D34/Annahmen!$B$8</f>
        <v/>
      </c>
    </row>
    <row r="35">
      <c r="A35" s="22" t="n">
        <v>32</v>
      </c>
      <c r="B35" s="9">
        <f>MIN(Annahmen!$B$17,ROUND(Annahmen!$B$15*(1+Annahmen!$B$16)^(32-1),0))</f>
        <v/>
      </c>
      <c r="C35" s="9">
        <f>ROUND(D34*Annahmen!$B$20,0)</f>
        <v/>
      </c>
      <c r="D35" s="9">
        <f>D34+B35-C35</f>
        <v/>
      </c>
      <c r="E35" s="11">
        <f>D35*Annahmen!$B$11</f>
        <v/>
      </c>
      <c r="F35" s="11">
        <f>E35*12</f>
        <v/>
      </c>
      <c r="G35" s="11">
        <f>B35*Annahmen!$B$25</f>
        <v/>
      </c>
      <c r="H35" s="11">
        <f>H34+E35-G35</f>
        <v/>
      </c>
      <c r="I35" s="23">
        <f>D35/Annahmen!$B$8</f>
        <v/>
      </c>
    </row>
    <row r="36">
      <c r="A36" s="17" t="n">
        <v>33</v>
      </c>
      <c r="B36" s="18">
        <f>MIN(Annahmen!$B$17,ROUND(Annahmen!$B$15*(1+Annahmen!$B$16)^(33-1),0))</f>
        <v/>
      </c>
      <c r="C36" s="18">
        <f>ROUND(D35*Annahmen!$B$20,0)</f>
        <v/>
      </c>
      <c r="D36" s="18">
        <f>D35+B36-C36</f>
        <v/>
      </c>
      <c r="E36" s="19">
        <f>D36*Annahmen!$B$11</f>
        <v/>
      </c>
      <c r="F36" s="19">
        <f>E36*12</f>
        <v/>
      </c>
      <c r="G36" s="19">
        <f>B36*Annahmen!$B$25</f>
        <v/>
      </c>
      <c r="H36" s="19">
        <f>H35+E36-G36</f>
        <v/>
      </c>
      <c r="I36" s="20">
        <f>D36/Annahmen!$B$8</f>
        <v/>
      </c>
    </row>
    <row r="37">
      <c r="A37" s="22" t="n">
        <v>34</v>
      </c>
      <c r="B37" s="9">
        <f>MIN(Annahmen!$B$17,ROUND(Annahmen!$B$15*(1+Annahmen!$B$16)^(34-1),0))</f>
        <v/>
      </c>
      <c r="C37" s="9">
        <f>ROUND(D36*Annahmen!$B$20,0)</f>
        <v/>
      </c>
      <c r="D37" s="9">
        <f>D36+B37-C37</f>
        <v/>
      </c>
      <c r="E37" s="11">
        <f>D37*Annahmen!$B$11</f>
        <v/>
      </c>
      <c r="F37" s="11">
        <f>E37*12</f>
        <v/>
      </c>
      <c r="G37" s="11">
        <f>B37*Annahmen!$B$25</f>
        <v/>
      </c>
      <c r="H37" s="11">
        <f>H36+E37-G37</f>
        <v/>
      </c>
      <c r="I37" s="23">
        <f>D37/Annahmen!$B$8</f>
        <v/>
      </c>
    </row>
    <row r="38">
      <c r="A38" s="17" t="n">
        <v>35</v>
      </c>
      <c r="B38" s="18">
        <f>MIN(Annahmen!$B$17,ROUND(Annahmen!$B$15*(1+Annahmen!$B$16)^(35-1),0))</f>
        <v/>
      </c>
      <c r="C38" s="18">
        <f>ROUND(D37*Annahmen!$B$20,0)</f>
        <v/>
      </c>
      <c r="D38" s="18">
        <f>D37+B38-C38</f>
        <v/>
      </c>
      <c r="E38" s="19">
        <f>D38*Annahmen!$B$11</f>
        <v/>
      </c>
      <c r="F38" s="19">
        <f>E38*12</f>
        <v/>
      </c>
      <c r="G38" s="19">
        <f>B38*Annahmen!$B$25</f>
        <v/>
      </c>
      <c r="H38" s="19">
        <f>H37+E38-G38</f>
        <v/>
      </c>
      <c r="I38" s="20">
        <f>D38/Annahmen!$B$8</f>
        <v/>
      </c>
    </row>
    <row r="39">
      <c r="A39" s="22" t="n">
        <v>36</v>
      </c>
      <c r="B39" s="9">
        <f>MIN(Annahmen!$B$17,ROUND(Annahmen!$B$15*(1+Annahmen!$B$16)^(36-1),0))</f>
        <v/>
      </c>
      <c r="C39" s="9">
        <f>ROUND(D38*Annahmen!$B$20,0)</f>
        <v/>
      </c>
      <c r="D39" s="9">
        <f>D38+B39-C39</f>
        <v/>
      </c>
      <c r="E39" s="11">
        <f>D39*Annahmen!$B$11</f>
        <v/>
      </c>
      <c r="F39" s="11">
        <f>E39*12</f>
        <v/>
      </c>
      <c r="G39" s="11">
        <f>B39*Annahmen!$B$25</f>
        <v/>
      </c>
      <c r="H39" s="11">
        <f>H38+E39-G39</f>
        <v/>
      </c>
      <c r="I39" s="23">
        <f>D39/Annahmen!$B$8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5" customWidth="1" min="3" max="3"/>
    <col width="15" customWidth="1" min="4" max="4"/>
    <col width="15" customWidth="1" min="5" max="5"/>
    <col width="15" customWidth="1" min="6" max="6"/>
  </cols>
  <sheetData>
    <row r="1">
      <c r="A1" s="1" t="inlineStr">
        <is>
          <t>Was bringt welche Kundenzahl?</t>
        </is>
      </c>
    </row>
    <row r="2">
      <c r="A2" s="2" t="inlineStr">
        <is>
          <t>Jahresumsatz bei unterschiedlichen Preispunkten und Abo-Zahlen.</t>
        </is>
      </c>
    </row>
    <row r="4">
      <c r="A4" s="26" t="inlineStr">
        <is>
          <t>Abos ↓ / Preis →</t>
        </is>
      </c>
      <c r="B4" s="27" t="n">
        <v>49</v>
      </c>
      <c r="C4" s="27" t="n">
        <v>79</v>
      </c>
      <c r="D4" s="27" t="n">
        <v>99</v>
      </c>
      <c r="E4" s="27" t="n">
        <v>149</v>
      </c>
      <c r="F4" s="27" t="n">
        <v>199</v>
      </c>
    </row>
    <row r="5">
      <c r="A5" s="28" t="n">
        <v>50</v>
      </c>
      <c r="B5" s="11">
        <f>$A5*B$4*12</f>
        <v/>
      </c>
      <c r="C5" s="11">
        <f>$A5*C$4*12</f>
        <v/>
      </c>
      <c r="D5" s="11">
        <f>$A5*D$4*12</f>
        <v/>
      </c>
      <c r="E5" s="11">
        <f>$A5*E$4*12</f>
        <v/>
      </c>
      <c r="F5" s="11">
        <f>$A5*F$4*12</f>
        <v/>
      </c>
    </row>
    <row r="6">
      <c r="A6" s="28" t="n">
        <v>100</v>
      </c>
      <c r="B6" s="11">
        <f>$A6*B$4*12</f>
        <v/>
      </c>
      <c r="C6" s="11">
        <f>$A6*C$4*12</f>
        <v/>
      </c>
      <c r="D6" s="11">
        <f>$A6*D$4*12</f>
        <v/>
      </c>
      <c r="E6" s="11">
        <f>$A6*E$4*12</f>
        <v/>
      </c>
      <c r="F6" s="11">
        <f>$A6*F$4*12</f>
        <v/>
      </c>
    </row>
    <row r="7">
      <c r="A7" s="28" t="n">
        <v>250</v>
      </c>
      <c r="B7" s="11">
        <f>$A7*B$4*12</f>
        <v/>
      </c>
      <c r="C7" s="11">
        <f>$A7*C$4*12</f>
        <v/>
      </c>
      <c r="D7" s="11">
        <f>$A7*D$4*12</f>
        <v/>
      </c>
      <c r="E7" s="11">
        <f>$A7*E$4*12</f>
        <v/>
      </c>
      <c r="F7" s="11">
        <f>$A7*F$4*12</f>
        <v/>
      </c>
    </row>
    <row r="8">
      <c r="A8" s="28" t="n">
        <v>500</v>
      </c>
      <c r="B8" s="11">
        <f>$A8*B$4*12</f>
        <v/>
      </c>
      <c r="C8" s="11">
        <f>$A8*C$4*12</f>
        <v/>
      </c>
      <c r="D8" s="11">
        <f>$A8*D$4*12</f>
        <v/>
      </c>
      <c r="E8" s="11">
        <f>$A8*E$4*12</f>
        <v/>
      </c>
      <c r="F8" s="11">
        <f>$A8*F$4*12</f>
        <v/>
      </c>
    </row>
    <row r="9">
      <c r="A9" s="28" t="n">
        <v>1000</v>
      </c>
      <c r="B9" s="11">
        <f>$A9*B$4*12</f>
        <v/>
      </c>
      <c r="C9" s="11">
        <f>$A9*C$4*12</f>
        <v/>
      </c>
      <c r="D9" s="11">
        <f>$A9*D$4*12</f>
        <v/>
      </c>
      <c r="E9" s="11">
        <f>$A9*E$4*12</f>
        <v/>
      </c>
      <c r="F9" s="11">
        <f>$A9*F$4*12</f>
        <v/>
      </c>
    </row>
    <row r="10">
      <c r="A10" s="28" t="n">
        <v>1500</v>
      </c>
      <c r="B10" s="11">
        <f>$A10*B$4*12</f>
        <v/>
      </c>
      <c r="C10" s="11">
        <f>$A10*C$4*12</f>
        <v/>
      </c>
      <c r="D10" s="11">
        <f>$A10*D$4*12</f>
        <v/>
      </c>
      <c r="E10" s="11">
        <f>$A10*E$4*12</f>
        <v/>
      </c>
      <c r="F10" s="11">
        <f>$A10*F$4*12</f>
        <v/>
      </c>
    </row>
    <row r="13">
      <c r="A13" s="16" t="inlineStr">
        <is>
          <t>Break-even-Betrachtung</t>
        </is>
      </c>
    </row>
    <row r="14">
      <c r="A14" s="5" t="inlineStr">
        <is>
          <t>Monatliche Fixkosten (Team, Technik, Recht)</t>
        </is>
      </c>
      <c r="B14" s="29" t="n">
        <v>8000</v>
      </c>
    </row>
    <row r="15">
      <c r="A15" s="5" t="inlineStr">
        <is>
          <t>Benötigte Abos für Kostendeckung</t>
        </is>
      </c>
      <c r="B15" s="24">
        <f>ROUNDUP(B14/Annahmen!$B$11,0)</f>
        <v/>
      </c>
    </row>
    <row r="16">
      <c r="A16" s="5" t="inlineStr">
        <is>
          <t>Entspricht Marktdurchdringung von</t>
        </is>
      </c>
      <c r="B16" s="30">
        <f>B15/Annahmen!$B$8</f>
        <v/>
      </c>
    </row>
    <row r="17">
      <c r="A17" s="5" t="inlineStr">
        <is>
          <t>Auftragswert, ab dem sich das Abo für den Anbieter rechnet</t>
        </is>
      </c>
      <c r="B17" s="31">
        <f>Annahmen!$B$11*12</f>
        <v/>
      </c>
    </row>
    <row r="18">
      <c r="A18" s="2" t="inlineStr">
        <is>
          <t>→ Ein einziger vermittelter Event-Auftrag (ca. 1.440 €) deckt das Jahresabo.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32" t="inlineStr">
        <is>
          <t>Quellen und Annahmen</t>
        </is>
      </c>
    </row>
    <row r="2">
      <c r="A2" s="33" t="inlineStr"/>
    </row>
    <row r="3">
      <c r="A3" s="34" t="inlineStr">
        <is>
          <t>Belegte Zahlen</t>
        </is>
      </c>
    </row>
    <row r="4">
      <c r="A4" s="33" t="inlineStr">
        <is>
          <t>5.330 Unternehmen im WZ 80.1 'Wach- und Sicherheitsdienste', Stichtag Sept. 2023.</t>
        </is>
      </c>
    </row>
    <row r="5">
      <c r="A5" s="35" t="inlineStr">
        <is>
          <t>Quelle: Statistisches Bundesamt / Bewacherregister, Strukturerhebung Dienstleistungsbereich.</t>
        </is>
      </c>
    </row>
    <row r="6">
      <c r="A6" s="33" t="inlineStr">
        <is>
          <t>Top 25 erwirtschaften 5,63 Mrd. € = rund 40 % des Marktvolumens ohne Geld- und Wertlogistik.</t>
        </is>
      </c>
    </row>
    <row r="7">
      <c r="A7" s="35" t="inlineStr">
        <is>
          <t>Quelle: Lünendonk-Liste 2026, Führende Sicherheitsdienstleister in Deutschland.</t>
        </is>
      </c>
    </row>
    <row r="8">
      <c r="A8" s="33" t="inlineStr">
        <is>
          <t>Branchenumsatz 2024: 14,02 Mrd. €. BDSW-Prognose 2025: rund 14,75 Mrd. €.</t>
        </is>
      </c>
    </row>
    <row r="9">
      <c r="A9" s="33" t="inlineStr"/>
    </row>
    <row r="10">
      <c r="A10" s="34" t="inlineStr">
        <is>
          <t>Eigene Annahmen — nicht belegt, bitte selbst schärfen</t>
        </is>
      </c>
    </row>
    <row r="11">
      <c r="A11" s="33" t="inlineStr">
        <is>
          <t>Adressierbarer Anteil 45 %: Betriebe mit Event- oder Kurzfristgeschäft. Langfristige</t>
        </is>
      </c>
    </row>
    <row r="12">
      <c r="A12" s="33" t="inlineStr">
        <is>
          <t>Werkschutz-Rahmenverträge laufen über Ausschreibungen, nicht über einen Marktplatz.</t>
        </is>
      </c>
    </row>
    <row r="13">
      <c r="A13" s="33" t="inlineStr">
        <is>
          <t>Churn 4 % pro Monat: typisch für KMU-SaaS mit monatlicher Kündbarkeit. Diese Zahl</t>
        </is>
      </c>
    </row>
    <row r="14">
      <c r="A14" s="33" t="inlineStr">
        <is>
          <t>entscheidet über das gesamte Modell — bei 8 % halbiert sich der Lifetime Value.</t>
        </is>
      </c>
    </row>
    <row r="15">
      <c r="A15" s="33" t="inlineStr">
        <is>
          <t>CAC 250 €: Mischkalkulation. Eigene Kaltakquise ist günstiger, Paid Ads teurer.</t>
        </is>
      </c>
    </row>
    <row r="16">
      <c r="A16" s="33" t="inlineStr"/>
    </row>
    <row r="17">
      <c r="A17" s="34" t="inlineStr">
        <is>
          <t>Was das Modell nicht abbildet</t>
        </is>
      </c>
    </row>
    <row r="18">
      <c r="A18" s="33" t="inlineStr">
        <is>
          <t>Die Nachfrageseite. Ohne Anfragen im System kündigen Anbieter nach zwei bis drei Monaten —</t>
        </is>
      </c>
    </row>
    <row r="19">
      <c r="A19" s="33" t="inlineStr">
        <is>
          <t>dann ist die Churn-Annahme von 4 % deutlich zu optimistisch.</t>
        </is>
      </c>
    </row>
    <row r="20">
      <c r="A20" s="33" t="inlineStr">
        <is>
          <t>Personalkosten, Entwicklung und Steuern. Der Deckungsbeitrag ist kein Gewinn.</t>
        </is>
      </c>
    </row>
    <row r="21">
      <c r="A21" s="33" t="inlineStr">
        <is>
          <t>Jahresverträge. Bei 12-Monats-Bindung sinkt der Churn stark, die Abschlussquote aber auch.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2026-08-13T14:19:20Z</dcterms:created>
  <dcterms:modified xsi:type="dcterms:W3CDTF">2026-08-13T14:19:20Z</dcterms:modified>
</cp:coreProperties>
</file>